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S_2026-1\Embebidos\Project_RoboticArm\040726_Manual\"/>
    </mc:Choice>
  </mc:AlternateContent>
  <xr:revisionPtr revIDLastSave="0" documentId="8_{EBF1E0AB-5624-4B90-8B03-7187D481960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Calibración" sheetId="1" r:id="rId1"/>
    <sheet name="Resumen Comparativo" sheetId="2" r:id="rId2"/>
    <sheet name="Criterios y Umbr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1" l="1"/>
  <c r="D7" i="1" s="1"/>
  <c r="G6" i="1"/>
  <c r="D6" i="1" s="1"/>
  <c r="O6" i="1" s="1"/>
  <c r="L11" i="1"/>
  <c r="K11" i="2"/>
  <c r="J11" i="2"/>
  <c r="I11" i="2"/>
  <c r="H11" i="2"/>
  <c r="G11" i="2"/>
  <c r="F11" i="2"/>
  <c r="E11" i="2"/>
  <c r="D11" i="2"/>
  <c r="C11" i="2"/>
  <c r="B11" i="2"/>
  <c r="A11" i="2"/>
  <c r="K10" i="2"/>
  <c r="J10" i="2"/>
  <c r="I10" i="2"/>
  <c r="H10" i="2"/>
  <c r="G10" i="2"/>
  <c r="F10" i="2"/>
  <c r="E10" i="2"/>
  <c r="D10" i="2"/>
  <c r="C10" i="2"/>
  <c r="B10" i="2"/>
  <c r="A10" i="2"/>
  <c r="K9" i="2"/>
  <c r="J9" i="2"/>
  <c r="I9" i="2"/>
  <c r="H9" i="2"/>
  <c r="G9" i="2"/>
  <c r="F9" i="2"/>
  <c r="E9" i="2"/>
  <c r="D9" i="2"/>
  <c r="C9" i="2"/>
  <c r="B9" i="2"/>
  <c r="A9" i="2"/>
  <c r="K8" i="2"/>
  <c r="J8" i="2"/>
  <c r="I8" i="2"/>
  <c r="H8" i="2"/>
  <c r="G8" i="2"/>
  <c r="F8" i="2"/>
  <c r="E8" i="2"/>
  <c r="D8" i="2"/>
  <c r="C8" i="2"/>
  <c r="B8" i="2"/>
  <c r="A8" i="2"/>
  <c r="K7" i="2"/>
  <c r="J7" i="2"/>
  <c r="I7" i="2"/>
  <c r="H7" i="2"/>
  <c r="G7" i="2"/>
  <c r="F7" i="2"/>
  <c r="E7" i="2"/>
  <c r="D7" i="2"/>
  <c r="C7" i="2"/>
  <c r="B7" i="2"/>
  <c r="A7" i="2"/>
  <c r="K6" i="2"/>
  <c r="J6" i="2"/>
  <c r="I6" i="2"/>
  <c r="H6" i="2"/>
  <c r="G6" i="2"/>
  <c r="F6" i="2"/>
  <c r="E6" i="2"/>
  <c r="D6" i="2"/>
  <c r="C6" i="2"/>
  <c r="B6" i="2"/>
  <c r="A6" i="2"/>
  <c r="K5" i="2"/>
  <c r="J5" i="2"/>
  <c r="I5" i="2"/>
  <c r="H5" i="2"/>
  <c r="G5" i="2"/>
  <c r="F5" i="2"/>
  <c r="E5" i="2"/>
  <c r="D5" i="2"/>
  <c r="C5" i="2"/>
  <c r="B5" i="2"/>
  <c r="A5" i="2"/>
  <c r="K4" i="2"/>
  <c r="K12" i="2" s="1"/>
  <c r="J4" i="2"/>
  <c r="I4" i="2"/>
  <c r="H4" i="2"/>
  <c r="G4" i="2"/>
  <c r="F4" i="2"/>
  <c r="E4" i="2"/>
  <c r="D4" i="2"/>
  <c r="C4" i="2"/>
  <c r="B4" i="2"/>
  <c r="A4" i="2"/>
  <c r="M11" i="1"/>
  <c r="K11" i="1"/>
  <c r="J11" i="1"/>
  <c r="I11" i="1"/>
  <c r="G11" i="1"/>
  <c r="G10" i="1"/>
  <c r="D10" i="1" s="1"/>
  <c r="O10" i="1" s="1"/>
  <c r="M9" i="2" s="1"/>
  <c r="G9" i="1"/>
  <c r="D9" i="1" s="1"/>
  <c r="O9" i="1" s="1"/>
  <c r="M8" i="2" s="1"/>
  <c r="G8" i="1"/>
  <c r="C12" i="2" l="1"/>
  <c r="L11" i="2"/>
  <c r="D8" i="1"/>
  <c r="L7" i="2" s="1"/>
  <c r="E12" i="2"/>
  <c r="D12" i="2"/>
  <c r="F12" i="2"/>
  <c r="D11" i="1"/>
  <c r="O11" i="1" s="1"/>
  <c r="M10" i="2" s="1"/>
  <c r="G12" i="2"/>
  <c r="M6" i="2"/>
  <c r="H12" i="2"/>
  <c r="I12" i="2"/>
  <c r="B12" i="2"/>
  <c r="J12" i="2"/>
  <c r="M4" i="2"/>
  <c r="L5" i="2"/>
  <c r="O7" i="1"/>
  <c r="M5" i="2" s="1"/>
  <c r="L9" i="2"/>
  <c r="L8" i="2"/>
  <c r="M11" i="2" l="1"/>
  <c r="O8" i="1"/>
  <c r="M7" i="2" s="1"/>
  <c r="M12" i="2" s="1"/>
  <c r="L10" i="2"/>
  <c r="L6" i="2"/>
  <c r="L4" i="2"/>
</calcChain>
</file>

<file path=xl/sharedStrings.xml><?xml version="1.0" encoding="utf-8"?>
<sst xmlns="http://schemas.openxmlformats.org/spreadsheetml/2006/main" count="144" uniqueCount="90">
  <si>
    <t>REGISTRO DE CALIBRACIÓN — BRAZOS ROBÓTICOS uArm  |  Ingeniería de Instrumentación</t>
  </si>
  <si>
    <t>Revisión de 8 unidades  |  LEFT_MAX nominal 150° ± 10°  |  RIGHT_MIN nominal 20° ± 10°  |  R² ≥ 0.98 excelente</t>
  </si>
  <si>
    <t>IDENTIFICACIÓN</t>
  </si>
  <si>
    <t>LÍMITES MECÁNICOS</t>
  </si>
  <si>
    <t>RESULTADO FINAL</t>
  </si>
  <si>
    <t>ID Brazo</t>
  </si>
  <si>
    <t>Fecha</t>
  </si>
  <si>
    <t>Estado
General</t>
  </si>
  <si>
    <t>LEFT
MAX (°)</t>
  </si>
  <si>
    <t>RIGHT
MIN (°)</t>
  </si>
  <si>
    <t>Resultado
Límites</t>
  </si>
  <si>
    <t>Notas
Límites</t>
  </si>
  <si>
    <t>Estado
LEFT</t>
  </si>
  <si>
    <t>Estado
RIGHT</t>
  </si>
  <si>
    <t>Estado
HAND</t>
  </si>
  <si>
    <t>Observaciones</t>
  </si>
  <si>
    <t>APROBADO</t>
  </si>
  <si>
    <t>RESUMEN COMPARATIVO — PARÁMETROS DE CALIBRACIÓN (8 BRAZOS)</t>
  </si>
  <si>
    <t>R² ≥ 0.98 = Excelente  |  R² ≥ 0.95 = Aceptable  |  R² &lt; 0.95 = Requiere nueva calibración  |  Offsets |x| ≤ 5° = OK</t>
  </si>
  <si>
    <t>LEFT MAX (°)</t>
  </si>
  <si>
    <t>RIGHT MIN (°)</t>
  </si>
  <si>
    <t>R² ROT</t>
  </si>
  <si>
    <t>R² LEFT</t>
  </si>
  <si>
    <t>R² RIGHT</t>
  </si>
  <si>
    <t>R² HAND</t>
  </si>
  <si>
    <t>Off. ROT (°)</t>
  </si>
  <si>
    <t>Off. LEFT (°)</t>
  </si>
  <si>
    <t>Off. RIGHT (°)</t>
  </si>
  <si>
    <t>Off. HAND (°)</t>
  </si>
  <si>
    <t>Estado General</t>
  </si>
  <si>
    <t>Aprobado</t>
  </si>
  <si>
    <t>PROMEDIO / TOTAL APROBADOS</t>
  </si>
  <si>
    <t>CRITERIOS DE ACEPTACIÓN — CALIBRACIÓN uArm Metal</t>
  </si>
  <si>
    <t>PARÁMETRO</t>
  </si>
  <si>
    <t>NOMINAL</t>
  </si>
  <si>
    <t>TOLERANCIA</t>
  </si>
  <si>
    <t>APROBADO SI</t>
  </si>
  <si>
    <t>ACCIÓN SI FALLA</t>
  </si>
  <si>
    <t>REFERENCIA</t>
  </si>
  <si>
    <t>LEFT_MAX (°)</t>
  </si>
  <si>
    <t>150</t>
  </si>
  <si>
    <t>± 10°</t>
  </si>
  <si>
    <t>140 ≤ x ≤ 160</t>
  </si>
  <si>
    <t>Revisar límite mecánico o reemplazar servo LEFT</t>
  </si>
  <si>
    <t>calibration.ino L43</t>
  </si>
  <si>
    <t>RIGHT_MIN (°)</t>
  </si>
  <si>
    <t>20</t>
  </si>
  <si>
    <t>10 ≤ x ≤ 30</t>
  </si>
  <si>
    <t>Revisar límite mecánico o reemplazar servo RIGHT</t>
  </si>
  <si>
    <t>calibration.ino L44</t>
  </si>
  <si>
    <t>≥ 0.98</t>
  </si>
  <si>
    <t>—</t>
  </si>
  <si>
    <t>R² ≥ 0.98</t>
  </si>
  <si>
    <t>Repetir calibración lineal. Verificar pin A2</t>
  </si>
  <si>
    <t>LinearRegression lr</t>
  </si>
  <si>
    <t>Repetir calibración lineal. Verificar pin A0</t>
  </si>
  <si>
    <t>Repetir calibración lineal. Verificar pin A1</t>
  </si>
  <si>
    <t>≥ 0.95</t>
  </si>
  <si>
    <t>R² ≥ 0.95</t>
  </si>
  <si>
    <t>Algunos modelos sin feedback analógico en muñeca</t>
  </si>
  <si>
    <t>Offset ROT manual</t>
  </si>
  <si>
    <t>0°</t>
  </si>
  <si>
    <t>± 5°</t>
  </si>
  <si>
    <t>|off| ≤ 5°</t>
  </si>
  <si>
    <t>Reposicionar brazo en paso manual y repetir D4</t>
  </si>
  <si>
    <t>waitingForManualCalibration</t>
  </si>
  <si>
    <t>Offset LEFT manual</t>
  </si>
  <si>
    <t>Offset RIGHT manual</t>
  </si>
  <si>
    <t>EEPROM escrita</t>
  </si>
  <si>
    <t>0x80</t>
  </si>
  <si>
    <t>Flag = 0x80</t>
  </si>
  <si>
    <t>Verificar conexión Arduino y repetir proceso completo</t>
  </si>
  <si>
    <t>EEPROM.write(10, 0x80)</t>
  </si>
  <si>
    <t>Juan Caguasango</t>
  </si>
  <si>
    <t>Ingeniero</t>
  </si>
  <si>
    <t>OK</t>
  </si>
  <si>
    <t>MAL</t>
  </si>
  <si>
    <t xml:space="preserve">El Motor hand no se mueve </t>
  </si>
  <si>
    <t>Estado
PUMP</t>
  </si>
  <si>
    <t>cables ok</t>
  </si>
  <si>
    <t>1619'5</t>
  </si>
  <si>
    <t>Juan Sañudo</t>
  </si>
  <si>
    <t>ok</t>
  </si>
  <si>
    <t>Estado
BASE</t>
  </si>
  <si>
    <t>REVISON</t>
  </si>
  <si>
    <t>REVISION</t>
  </si>
  <si>
    <t>EL MOTOR DERECHO NO LLEGA AL RANGO DESEADO</t>
  </si>
  <si>
    <t xml:space="preserve"> El motor derecho presenta problemas en su ranog y el motor de mano se mueve pero intenta llegar a rangoes que no puedo lo que genera que se fuerce el motor </t>
  </si>
  <si>
    <t>INICIALIZACION</t>
  </si>
  <si>
    <t>EL MOTOR DERECHO E IZQUIERDO NO LLEGAN AL RANGO DESEADO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</si>
</sst>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0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b/>
      <sz val="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2E75B6"/>
        <bgColor rgb="FF008080"/>
      </patternFill>
    </fill>
    <fill>
      <patternFill patternType="solid">
        <fgColor rgb="FFBDD7EE"/>
        <bgColor rgb="FFC6EFCE"/>
      </patternFill>
    </fill>
    <fill>
      <patternFill patternType="solid">
        <fgColor rgb="FF1A5276"/>
        <bgColor rgb="FF1F3864"/>
      </patternFill>
    </fill>
    <fill>
      <patternFill patternType="solid">
        <fgColor rgb="FF145A32"/>
        <bgColor rgb="FF276221"/>
      </patternFill>
    </fill>
    <fill>
      <patternFill patternType="solid">
        <fgColor rgb="FF784212"/>
        <bgColor rgb="FF922B21"/>
      </patternFill>
    </fill>
    <fill>
      <patternFill patternType="solid">
        <fgColor rgb="FF512E5F"/>
        <bgColor rgb="FF1F3864"/>
      </patternFill>
    </fill>
    <fill>
      <patternFill patternType="solid">
        <fgColor rgb="FF1B2631"/>
        <bgColor rgb="FF1F3864"/>
      </patternFill>
    </fill>
    <fill>
      <patternFill patternType="solid">
        <fgColor rgb="FF922B21"/>
        <bgColor rgb="FF78421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4" borderId="0" xfId="0" applyFill="1"/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164" fontId="6" fillId="11" borderId="2" xfId="0" applyNumberFormat="1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165" fontId="8" fillId="4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3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276221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276221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276221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7D6608"/>
        <name val="Arial"/>
        <charset val="1"/>
      </font>
      <fill>
        <patternFill>
          <bgColor rgb="FFFFEB9C"/>
        </patternFill>
      </fill>
    </dxf>
    <dxf>
      <font>
        <b/>
        <sz val="9"/>
        <color rgb="FF276221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276221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276221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7D6608"/>
      <rgbColor rgb="FF800080"/>
      <rgbColor rgb="FF008080"/>
      <rgbColor rgb="FFBFBFBF"/>
      <rgbColor rgb="FF808080"/>
      <rgbColor rgb="FF9999FF"/>
      <rgbColor rgb="FF784212"/>
      <rgbColor rgb="FFF2F2F2"/>
      <rgbColor rgb="FFCCFFFF"/>
      <rgbColor rgb="FF660066"/>
      <rgbColor rgb="FFFF8080"/>
      <rgbColor rgb="FF1A527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145A32"/>
      <rgbColor rgb="FF333300"/>
      <rgbColor rgb="FF922B21"/>
      <rgbColor rgb="FF993366"/>
      <rgbColor rgb="FF512E5F"/>
      <rgbColor rgb="FF1B2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showGridLines="0" tabSelected="1" zoomScaleNormal="100" workbookViewId="0">
      <pane ySplit="5" topLeftCell="A6" activePane="bottomLeft" state="frozen"/>
      <selection pane="bottomLeft" activeCell="E11" sqref="E11"/>
    </sheetView>
  </sheetViews>
  <sheetFormatPr defaultColWidth="8.7109375" defaultRowHeight="15" x14ac:dyDescent="0.25"/>
  <cols>
    <col min="1" max="1" width="10" customWidth="1"/>
    <col min="2" max="2" width="12" customWidth="1"/>
    <col min="3" max="3" width="17.85546875" customWidth="1"/>
    <col min="4" max="4" width="11" customWidth="1"/>
    <col min="5" max="6" width="10" customWidth="1"/>
    <col min="7" max="7" width="11" customWidth="1"/>
    <col min="8" max="8" width="22.42578125" customWidth="1"/>
    <col min="9" max="12" width="13.7109375" bestFit="1" customWidth="1"/>
    <col min="13" max="13" width="9" customWidth="1"/>
    <col min="14" max="14" width="132.42578125" bestFit="1" customWidth="1"/>
    <col min="15" max="15" width="11" customWidth="1"/>
  </cols>
  <sheetData>
    <row r="1" spans="1:16" ht="31.5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6" ht="15.75" customHeight="1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6" ht="4.5" customHeight="1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6" ht="21.75" customHeight="1" thickBot="1" x14ac:dyDescent="0.3">
      <c r="A4" s="21" t="s">
        <v>2</v>
      </c>
      <c r="B4" s="21"/>
      <c r="C4" s="21"/>
      <c r="D4" s="21"/>
      <c r="E4" s="22" t="s">
        <v>3</v>
      </c>
      <c r="F4" s="22"/>
      <c r="G4" s="22"/>
      <c r="H4" s="22"/>
      <c r="I4" s="2"/>
      <c r="J4" s="3"/>
      <c r="K4" s="4"/>
      <c r="L4" s="5"/>
      <c r="M4" s="5"/>
      <c r="N4" s="23" t="s">
        <v>4</v>
      </c>
      <c r="O4" s="23"/>
    </row>
    <row r="5" spans="1:16" ht="36" customHeight="1" x14ac:dyDescent="0.25">
      <c r="A5" s="6" t="s">
        <v>5</v>
      </c>
      <c r="B5" s="6" t="s">
        <v>6</v>
      </c>
      <c r="C5" s="6" t="s">
        <v>74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83</v>
      </c>
      <c r="J5" s="6" t="s">
        <v>12</v>
      </c>
      <c r="K5" s="6" t="s">
        <v>13</v>
      </c>
      <c r="L5" s="6" t="s">
        <v>14</v>
      </c>
      <c r="M5" s="6" t="s">
        <v>78</v>
      </c>
      <c r="N5" s="6" t="s">
        <v>15</v>
      </c>
      <c r="O5" s="6" t="s">
        <v>16</v>
      </c>
    </row>
    <row r="6" spans="1:16" ht="30" customHeight="1" x14ac:dyDescent="0.25">
      <c r="A6" s="7">
        <v>161907</v>
      </c>
      <c r="B6" s="8">
        <v>46189</v>
      </c>
      <c r="C6" s="9" t="s">
        <v>73</v>
      </c>
      <c r="D6" s="9" t="str">
        <f t="shared" ref="D6:D11" si="0">IF(AND(G6="OK",I6="OK",J6="OK",K6="OK"),"✔ OK","✖ REVISAR")</f>
        <v>✔ OK</v>
      </c>
      <c r="E6" s="9">
        <v>155</v>
      </c>
      <c r="F6" s="9">
        <v>10</v>
      </c>
      <c r="G6" s="9" t="str">
        <f>IF(AND(ABS(E6-150)&lt;=10,ABS(F6-20)&lt;=10),"OK","FUERA RANGO")</f>
        <v>OK</v>
      </c>
      <c r="H6" s="9"/>
      <c r="I6" s="9" t="s">
        <v>75</v>
      </c>
      <c r="J6" s="9" t="s">
        <v>75</v>
      </c>
      <c r="K6" s="9" t="s">
        <v>75</v>
      </c>
      <c r="L6" s="9" t="s">
        <v>76</v>
      </c>
      <c r="M6" s="9" t="s">
        <v>75</v>
      </c>
      <c r="N6" s="9" t="s">
        <v>77</v>
      </c>
      <c r="O6" s="9" t="str">
        <f>IF(D6="✔ OK","SÍ","NO")</f>
        <v>SÍ</v>
      </c>
      <c r="P6" t="s">
        <v>79</v>
      </c>
    </row>
    <row r="7" spans="1:16" ht="19.5" customHeight="1" x14ac:dyDescent="0.25">
      <c r="A7" s="10" t="s">
        <v>80</v>
      </c>
      <c r="B7" s="8">
        <v>46189</v>
      </c>
      <c r="C7" s="9" t="s">
        <v>73</v>
      </c>
      <c r="D7" s="11" t="e">
        <f t="shared" si="0"/>
        <v>#VALUE!</v>
      </c>
      <c r="E7" s="11" t="s">
        <v>85</v>
      </c>
      <c r="F7" s="11" t="s">
        <v>85</v>
      </c>
      <c r="G7" s="11" t="e">
        <f t="shared" ref="G7:G11" si="1">IF(AND(ABS(E7-150)&lt;=10,ABS(F7-20)&lt;=10),"OK","FUERA RANGO")</f>
        <v>#VALUE!</v>
      </c>
      <c r="H7" s="11"/>
      <c r="I7" s="11" t="s">
        <v>75</v>
      </c>
      <c r="J7" s="11" t="s">
        <v>76</v>
      </c>
      <c r="K7" s="11" t="s">
        <v>75</v>
      </c>
      <c r="L7" s="11" t="s">
        <v>84</v>
      </c>
      <c r="M7" s="11" t="s">
        <v>82</v>
      </c>
      <c r="N7" s="11"/>
      <c r="O7" s="11" t="e">
        <f t="shared" ref="O7:O11" si="2">IF(D7="✔ OK","SÍ","NO")</f>
        <v>#VALUE!</v>
      </c>
    </row>
    <row r="8" spans="1:16" ht="36" x14ac:dyDescent="0.25">
      <c r="A8" s="10">
        <v>161908</v>
      </c>
      <c r="B8" s="8">
        <v>46190</v>
      </c>
      <c r="C8" s="11" t="s">
        <v>81</v>
      </c>
      <c r="D8" s="11" t="str">
        <f t="shared" si="0"/>
        <v>✖ REVISAR</v>
      </c>
      <c r="E8" s="11">
        <v>145</v>
      </c>
      <c r="F8" s="11">
        <v>65</v>
      </c>
      <c r="G8" s="11" t="str">
        <f t="shared" si="1"/>
        <v>FUERA RANGO</v>
      </c>
      <c r="H8" s="11" t="s">
        <v>86</v>
      </c>
      <c r="I8" s="11" t="s">
        <v>75</v>
      </c>
      <c r="J8" s="11" t="s">
        <v>75</v>
      </c>
      <c r="K8" s="11" t="s">
        <v>88</v>
      </c>
      <c r="L8" s="11" t="s">
        <v>88</v>
      </c>
      <c r="M8" s="11" t="s">
        <v>75</v>
      </c>
      <c r="N8" s="11" t="s">
        <v>87</v>
      </c>
      <c r="O8" s="11" t="str">
        <f t="shared" si="2"/>
        <v>NO</v>
      </c>
    </row>
    <row r="9" spans="1:16" ht="36" x14ac:dyDescent="0.25">
      <c r="A9" s="7">
        <v>161906</v>
      </c>
      <c r="B9" s="8">
        <v>46190</v>
      </c>
      <c r="C9" s="11" t="s">
        <v>81</v>
      </c>
      <c r="D9" s="9" t="str">
        <f t="shared" si="0"/>
        <v>✖ REVISAR</v>
      </c>
      <c r="E9" s="9">
        <v>155</v>
      </c>
      <c r="F9" s="9">
        <v>79</v>
      </c>
      <c r="G9" s="9" t="str">
        <f t="shared" si="1"/>
        <v>FUERA RANGO</v>
      </c>
      <c r="H9" s="11" t="s">
        <v>86</v>
      </c>
      <c r="I9" s="9" t="s">
        <v>82</v>
      </c>
      <c r="J9" s="9" t="s">
        <v>82</v>
      </c>
      <c r="K9" s="11" t="s">
        <v>88</v>
      </c>
      <c r="L9" s="11" t="s">
        <v>88</v>
      </c>
      <c r="M9" s="9" t="s">
        <v>82</v>
      </c>
      <c r="N9" s="11" t="s">
        <v>87</v>
      </c>
      <c r="O9" s="9" t="str">
        <f t="shared" si="2"/>
        <v>NO</v>
      </c>
    </row>
    <row r="10" spans="1:16" ht="36" x14ac:dyDescent="0.25">
      <c r="A10" s="10">
        <v>161894</v>
      </c>
      <c r="B10" s="8">
        <v>46190</v>
      </c>
      <c r="C10" s="11" t="s">
        <v>81</v>
      </c>
      <c r="D10" s="11" t="str">
        <f t="shared" si="0"/>
        <v>✖ REVISAR</v>
      </c>
      <c r="E10" s="11">
        <v>95</v>
      </c>
      <c r="F10" s="11">
        <v>90</v>
      </c>
      <c r="G10" s="11" t="str">
        <f t="shared" si="1"/>
        <v>FUERA RANGO</v>
      </c>
      <c r="H10" s="11" t="s">
        <v>89</v>
      </c>
      <c r="I10" s="11" t="s">
        <v>88</v>
      </c>
      <c r="J10" s="11" t="s">
        <v>88</v>
      </c>
      <c r="K10" s="11" t="s">
        <v>88</v>
      </c>
      <c r="L10" s="11" t="s">
        <v>75</v>
      </c>
      <c r="M10" s="11" t="s">
        <v>75</v>
      </c>
      <c r="N10" s="11"/>
      <c r="O10" s="11" t="str">
        <f t="shared" si="2"/>
        <v>NO</v>
      </c>
    </row>
    <row r="11" spans="1:16" ht="24" x14ac:dyDescent="0.25">
      <c r="A11" s="7">
        <v>161903</v>
      </c>
      <c r="B11" s="8">
        <v>46190</v>
      </c>
      <c r="C11" s="11" t="s">
        <v>81</v>
      </c>
      <c r="D11" s="9" t="e">
        <f t="shared" si="0"/>
        <v>#REF!</v>
      </c>
      <c r="E11" s="9"/>
      <c r="F11" s="9"/>
      <c r="G11" s="9" t="str">
        <f t="shared" si="1"/>
        <v>FUERA RANGO</v>
      </c>
      <c r="H11" s="9"/>
      <c r="I11" s="9" t="e">
        <f>IF(#REF!="","—",IF(#REF!&gt;=0.98,"OK",IF(#REF!&gt;=0.95,"REVISAR","MAL")))</f>
        <v>#REF!</v>
      </c>
      <c r="J11" s="9" t="e">
        <f>IF(#REF!="","—",IF(#REF!&gt;=0.98,"OK",IF(#REF!&gt;=0.95,"REVISAR","MAL")))</f>
        <v>#REF!</v>
      </c>
      <c r="K11" s="9" t="e">
        <f>IF(#REF!="","—",IF(#REF!&gt;=0.98,"OK",IF(#REF!&gt;=0.95,"REVISAR","MAL")))</f>
        <v>#REF!</v>
      </c>
      <c r="L11" s="9" t="e">
        <f>IF(#REF!="","—",IF(#REF!&gt;=0.98,"OK",IF(#REF!&gt;=0.95,"REVISAR","MAL")))</f>
        <v>#REF!</v>
      </c>
      <c r="M11" s="9" t="e">
        <f>IF(#REF!="","—",IF(#REF!&gt;=0.98,"OK",IF(#REF!&gt;=0.95,"REVISAR","MAL")))</f>
        <v>#REF!</v>
      </c>
      <c r="N11" s="9"/>
      <c r="O11" s="9" t="e">
        <f t="shared" si="2"/>
        <v>#REF!</v>
      </c>
    </row>
  </sheetData>
  <mergeCells count="5">
    <mergeCell ref="A1:O1"/>
    <mergeCell ref="A2:O2"/>
    <mergeCell ref="A4:D4"/>
    <mergeCell ref="E4:H4"/>
    <mergeCell ref="N4:O4"/>
  </mergeCells>
  <conditionalFormatting sqref="D6:D11">
    <cfRule type="expression" dxfId="12" priority="5">
      <formula>D6="✔ OK"</formula>
    </cfRule>
    <cfRule type="expression" dxfId="11" priority="6">
      <formula>D6="✖ REVISAR"</formula>
    </cfRule>
  </conditionalFormatting>
  <conditionalFormatting sqref="G6:G11">
    <cfRule type="expression" dxfId="10" priority="7">
      <formula>G6="OK"</formula>
    </cfRule>
    <cfRule type="expression" dxfId="9" priority="8">
      <formula>G6="FUERA RANGO"</formula>
    </cfRule>
  </conditionalFormatting>
  <conditionalFormatting sqref="I6:M11">
    <cfRule type="expression" dxfId="8" priority="1">
      <formula>I6="OK"</formula>
    </cfRule>
    <cfRule type="expression" dxfId="7" priority="2">
      <formula>I6="REVISAR"</formula>
    </cfRule>
    <cfRule type="expression" dxfId="6" priority="3">
      <formula>I6="MAL"</formula>
    </cfRule>
  </conditionalFormatting>
  <conditionalFormatting sqref="O6:O11">
    <cfRule type="expression" dxfId="5" priority="21">
      <formula>O6="SÍ"</formula>
    </cfRule>
    <cfRule type="expression" dxfId="4" priority="22">
      <formula>O6="NO"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3" width="13" customWidth="1"/>
    <col min="4" max="7" width="9" customWidth="1"/>
    <col min="8" max="11" width="12" customWidth="1"/>
    <col min="12" max="12" width="14" customWidth="1"/>
    <col min="13" max="13" width="11" customWidth="1"/>
  </cols>
  <sheetData>
    <row r="1" spans="1:13" ht="27.75" customHeight="1" x14ac:dyDescent="0.25">
      <c r="A1" s="24" t="s">
        <v>17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5.75" customHeight="1" x14ac:dyDescent="0.25">
      <c r="A2" s="20" t="s">
        <v>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27.75" customHeight="1" x14ac:dyDescent="0.25">
      <c r="A3" s="12" t="s">
        <v>5</v>
      </c>
      <c r="B3" s="12" t="s">
        <v>19</v>
      </c>
      <c r="C3" s="12" t="s">
        <v>20</v>
      </c>
      <c r="D3" s="12" t="s">
        <v>21</v>
      </c>
      <c r="E3" s="12" t="s">
        <v>22</v>
      </c>
      <c r="F3" s="12" t="s">
        <v>23</v>
      </c>
      <c r="G3" s="12" t="s">
        <v>24</v>
      </c>
      <c r="H3" s="12" t="s">
        <v>25</v>
      </c>
      <c r="I3" s="12" t="s">
        <v>26</v>
      </c>
      <c r="J3" s="12" t="s">
        <v>27</v>
      </c>
      <c r="K3" s="12" t="s">
        <v>28</v>
      </c>
      <c r="L3" s="12" t="s">
        <v>29</v>
      </c>
      <c r="M3" s="12" t="s">
        <v>30</v>
      </c>
    </row>
    <row r="4" spans="1:13" ht="19.5" customHeight="1" x14ac:dyDescent="0.25">
      <c r="A4" s="9">
        <f>Calibración!A6</f>
        <v>161907</v>
      </c>
      <c r="B4" s="9">
        <f>Calibración!E6</f>
        <v>155</v>
      </c>
      <c r="C4" s="9">
        <f>Calibración!F6</f>
        <v>10</v>
      </c>
      <c r="D4" s="9" t="e">
        <f>Calibración!#REF!</f>
        <v>#REF!</v>
      </c>
      <c r="E4" s="9" t="e">
        <f>Calibración!#REF!</f>
        <v>#REF!</v>
      </c>
      <c r="F4" s="9" t="e">
        <f>Calibración!#REF!</f>
        <v>#REF!</v>
      </c>
      <c r="G4" s="9" t="e">
        <f>Calibración!#REF!</f>
        <v>#REF!</v>
      </c>
      <c r="H4" s="9" t="e">
        <f>Calibración!#REF!</f>
        <v>#REF!</v>
      </c>
      <c r="I4" s="9" t="e">
        <f>Calibración!#REF!</f>
        <v>#REF!</v>
      </c>
      <c r="J4" s="9" t="e">
        <f>Calibración!#REF!</f>
        <v>#REF!</v>
      </c>
      <c r="K4" s="9" t="e">
        <f>Calibración!#REF!</f>
        <v>#REF!</v>
      </c>
      <c r="L4" s="9" t="str">
        <f>Calibración!D6</f>
        <v>✔ OK</v>
      </c>
      <c r="M4" s="9" t="str">
        <f>Calibración!O6</f>
        <v>SÍ</v>
      </c>
    </row>
    <row r="5" spans="1:13" ht="19.5" customHeight="1" x14ac:dyDescent="0.25">
      <c r="A5" s="11" t="str">
        <f>Calibración!A7</f>
        <v>1619'5</v>
      </c>
      <c r="B5" s="11" t="str">
        <f>Calibración!E7</f>
        <v>REVISION</v>
      </c>
      <c r="C5" s="11" t="str">
        <f>Calibración!F7</f>
        <v>REVISION</v>
      </c>
      <c r="D5" s="11" t="e">
        <f>Calibración!#REF!</f>
        <v>#REF!</v>
      </c>
      <c r="E5" s="11" t="e">
        <f>Calibración!#REF!</f>
        <v>#REF!</v>
      </c>
      <c r="F5" s="11" t="e">
        <f>Calibración!#REF!</f>
        <v>#REF!</v>
      </c>
      <c r="G5" s="11" t="e">
        <f>Calibración!#REF!</f>
        <v>#REF!</v>
      </c>
      <c r="H5" s="11" t="e">
        <f>Calibración!#REF!</f>
        <v>#REF!</v>
      </c>
      <c r="I5" s="11" t="e">
        <f>Calibración!#REF!</f>
        <v>#REF!</v>
      </c>
      <c r="J5" s="11" t="e">
        <f>Calibración!#REF!</f>
        <v>#REF!</v>
      </c>
      <c r="K5" s="11" t="e">
        <f>Calibración!#REF!</f>
        <v>#REF!</v>
      </c>
      <c r="L5" s="11" t="e">
        <f>Calibración!D7</f>
        <v>#VALUE!</v>
      </c>
      <c r="M5" s="11" t="e">
        <f>Calibración!O7</f>
        <v>#VALUE!</v>
      </c>
    </row>
    <row r="6" spans="1:13" ht="19.5" customHeight="1" x14ac:dyDescent="0.25">
      <c r="A6" s="9" t="e">
        <f>Calibración!#REF!</f>
        <v>#REF!</v>
      </c>
      <c r="B6" s="9" t="e">
        <f>Calibración!#REF!</f>
        <v>#REF!</v>
      </c>
      <c r="C6" s="9" t="e">
        <f>Calibración!#REF!</f>
        <v>#REF!</v>
      </c>
      <c r="D6" s="9" t="e">
        <f>Calibración!#REF!</f>
        <v>#REF!</v>
      </c>
      <c r="E6" s="9" t="e">
        <f>Calibración!#REF!</f>
        <v>#REF!</v>
      </c>
      <c r="F6" s="9" t="e">
        <f>Calibración!#REF!</f>
        <v>#REF!</v>
      </c>
      <c r="G6" s="9" t="e">
        <f>Calibración!#REF!</f>
        <v>#REF!</v>
      </c>
      <c r="H6" s="9" t="e">
        <f>Calibración!#REF!</f>
        <v>#REF!</v>
      </c>
      <c r="I6" s="9" t="e">
        <f>Calibración!#REF!</f>
        <v>#REF!</v>
      </c>
      <c r="J6" s="9" t="e">
        <f>Calibración!#REF!</f>
        <v>#REF!</v>
      </c>
      <c r="K6" s="9" t="e">
        <f>Calibración!#REF!</f>
        <v>#REF!</v>
      </c>
      <c r="L6" s="9" t="e">
        <f>Calibración!#REF!</f>
        <v>#REF!</v>
      </c>
      <c r="M6" s="9" t="e">
        <f>Calibración!#REF!</f>
        <v>#REF!</v>
      </c>
    </row>
    <row r="7" spans="1:13" ht="19.5" customHeight="1" x14ac:dyDescent="0.25">
      <c r="A7" s="11">
        <f>Calibración!A8</f>
        <v>161908</v>
      </c>
      <c r="B7" s="11">
        <f>Calibración!E8</f>
        <v>145</v>
      </c>
      <c r="C7" s="11">
        <f>Calibración!F8</f>
        <v>65</v>
      </c>
      <c r="D7" s="11" t="e">
        <f>Calibración!#REF!</f>
        <v>#REF!</v>
      </c>
      <c r="E7" s="11" t="e">
        <f>Calibración!#REF!</f>
        <v>#REF!</v>
      </c>
      <c r="F7" s="11" t="e">
        <f>Calibración!#REF!</f>
        <v>#REF!</v>
      </c>
      <c r="G7" s="11" t="e">
        <f>Calibración!#REF!</f>
        <v>#REF!</v>
      </c>
      <c r="H7" s="11" t="e">
        <f>Calibración!#REF!</f>
        <v>#REF!</v>
      </c>
      <c r="I7" s="11" t="e">
        <f>Calibración!#REF!</f>
        <v>#REF!</v>
      </c>
      <c r="J7" s="11" t="e">
        <f>Calibración!#REF!</f>
        <v>#REF!</v>
      </c>
      <c r="K7" s="11" t="e">
        <f>Calibración!#REF!</f>
        <v>#REF!</v>
      </c>
      <c r="L7" s="11" t="str">
        <f>Calibración!D8</f>
        <v>✖ REVISAR</v>
      </c>
      <c r="M7" s="11" t="str">
        <f>Calibración!O8</f>
        <v>NO</v>
      </c>
    </row>
    <row r="8" spans="1:13" ht="19.5" customHeight="1" x14ac:dyDescent="0.25">
      <c r="A8" s="9">
        <f>Calibración!A9</f>
        <v>161906</v>
      </c>
      <c r="B8" s="9">
        <f>Calibración!E9</f>
        <v>155</v>
      </c>
      <c r="C8" s="9">
        <f>Calibración!F9</f>
        <v>79</v>
      </c>
      <c r="D8" s="9" t="e">
        <f>Calibración!#REF!</f>
        <v>#REF!</v>
      </c>
      <c r="E8" s="9" t="e">
        <f>Calibración!#REF!</f>
        <v>#REF!</v>
      </c>
      <c r="F8" s="9" t="e">
        <f>Calibración!#REF!</f>
        <v>#REF!</v>
      </c>
      <c r="G8" s="9" t="e">
        <f>Calibración!#REF!</f>
        <v>#REF!</v>
      </c>
      <c r="H8" s="9" t="e">
        <f>Calibración!#REF!</f>
        <v>#REF!</v>
      </c>
      <c r="I8" s="9" t="e">
        <f>Calibración!#REF!</f>
        <v>#REF!</v>
      </c>
      <c r="J8" s="9" t="e">
        <f>Calibración!#REF!</f>
        <v>#REF!</v>
      </c>
      <c r="K8" s="9" t="e">
        <f>Calibración!#REF!</f>
        <v>#REF!</v>
      </c>
      <c r="L8" s="9" t="str">
        <f>Calibración!D9</f>
        <v>✖ REVISAR</v>
      </c>
      <c r="M8" s="9" t="str">
        <f>Calibración!O9</f>
        <v>NO</v>
      </c>
    </row>
    <row r="9" spans="1:13" ht="19.5" customHeight="1" x14ac:dyDescent="0.25">
      <c r="A9" s="11">
        <f>Calibración!A10</f>
        <v>161894</v>
      </c>
      <c r="B9" s="11">
        <f>Calibración!E10</f>
        <v>95</v>
      </c>
      <c r="C9" s="11">
        <f>Calibración!F10</f>
        <v>90</v>
      </c>
      <c r="D9" s="11" t="e">
        <f>Calibración!#REF!</f>
        <v>#REF!</v>
      </c>
      <c r="E9" s="11" t="e">
        <f>Calibración!#REF!</f>
        <v>#REF!</v>
      </c>
      <c r="F9" s="11" t="e">
        <f>Calibración!#REF!</f>
        <v>#REF!</v>
      </c>
      <c r="G9" s="11" t="e">
        <f>Calibración!#REF!</f>
        <v>#REF!</v>
      </c>
      <c r="H9" s="11" t="e">
        <f>Calibración!#REF!</f>
        <v>#REF!</v>
      </c>
      <c r="I9" s="11" t="e">
        <f>Calibración!#REF!</f>
        <v>#REF!</v>
      </c>
      <c r="J9" s="11" t="e">
        <f>Calibración!#REF!</f>
        <v>#REF!</v>
      </c>
      <c r="K9" s="11" t="e">
        <f>Calibración!#REF!</f>
        <v>#REF!</v>
      </c>
      <c r="L9" s="11" t="str">
        <f>Calibración!D10</f>
        <v>✖ REVISAR</v>
      </c>
      <c r="M9" s="11" t="str">
        <f>Calibración!O10</f>
        <v>NO</v>
      </c>
    </row>
    <row r="10" spans="1:13" ht="19.5" customHeight="1" x14ac:dyDescent="0.25">
      <c r="A10" s="9">
        <f>Calibración!A11</f>
        <v>161903</v>
      </c>
      <c r="B10" s="9">
        <f>Calibración!E11</f>
        <v>0</v>
      </c>
      <c r="C10" s="9">
        <f>Calibración!F11</f>
        <v>0</v>
      </c>
      <c r="D10" s="9" t="e">
        <f>Calibración!#REF!</f>
        <v>#REF!</v>
      </c>
      <c r="E10" s="9" t="e">
        <f>Calibración!#REF!</f>
        <v>#REF!</v>
      </c>
      <c r="F10" s="9" t="e">
        <f>Calibración!#REF!</f>
        <v>#REF!</v>
      </c>
      <c r="G10" s="9" t="e">
        <f>Calibración!#REF!</f>
        <v>#REF!</v>
      </c>
      <c r="H10" s="9" t="e">
        <f>Calibración!#REF!</f>
        <v>#REF!</v>
      </c>
      <c r="I10" s="9" t="e">
        <f>Calibración!#REF!</f>
        <v>#REF!</v>
      </c>
      <c r="J10" s="9" t="e">
        <f>Calibración!#REF!</f>
        <v>#REF!</v>
      </c>
      <c r="K10" s="9" t="e">
        <f>Calibración!#REF!</f>
        <v>#REF!</v>
      </c>
      <c r="L10" s="9" t="e">
        <f>Calibración!D11</f>
        <v>#REF!</v>
      </c>
      <c r="M10" s="9" t="e">
        <f>Calibración!O11</f>
        <v>#REF!</v>
      </c>
    </row>
    <row r="11" spans="1:13" ht="19.5" customHeight="1" x14ac:dyDescent="0.25">
      <c r="A11" s="11" t="e">
        <f>Calibración!#REF!</f>
        <v>#REF!</v>
      </c>
      <c r="B11" s="11" t="e">
        <f>Calibración!#REF!</f>
        <v>#REF!</v>
      </c>
      <c r="C11" s="11" t="e">
        <f>Calibración!#REF!</f>
        <v>#REF!</v>
      </c>
      <c r="D11" s="11" t="e">
        <f>Calibración!#REF!</f>
        <v>#REF!</v>
      </c>
      <c r="E11" s="11" t="e">
        <f>Calibración!#REF!</f>
        <v>#REF!</v>
      </c>
      <c r="F11" s="11" t="e">
        <f>Calibración!#REF!</f>
        <v>#REF!</v>
      </c>
      <c r="G11" s="11" t="e">
        <f>Calibración!#REF!</f>
        <v>#REF!</v>
      </c>
      <c r="H11" s="11" t="e">
        <f>Calibración!#REF!</f>
        <v>#REF!</v>
      </c>
      <c r="I11" s="11" t="e">
        <f>Calibración!#REF!</f>
        <v>#REF!</v>
      </c>
      <c r="J11" s="11" t="e">
        <f>Calibración!#REF!</f>
        <v>#REF!</v>
      </c>
      <c r="K11" s="11" t="e">
        <f>Calibración!#REF!</f>
        <v>#REF!</v>
      </c>
      <c r="L11" s="11" t="e">
        <f>Calibración!#REF!</f>
        <v>#REF!</v>
      </c>
      <c r="M11" s="11" t="e">
        <f>Calibración!#REF!</f>
        <v>#REF!</v>
      </c>
    </row>
    <row r="12" spans="1:13" ht="36" x14ac:dyDescent="0.25">
      <c r="A12" s="13" t="s">
        <v>31</v>
      </c>
      <c r="B12" s="14" t="str">
        <f t="shared" ref="B12:K12" si="0">IFERROR(AVERAGE(B4:B11),"")</f>
        <v/>
      </c>
      <c r="C12" s="14" t="str">
        <f t="shared" si="0"/>
        <v/>
      </c>
      <c r="D12" s="14" t="str">
        <f t="shared" si="0"/>
        <v/>
      </c>
      <c r="E12" s="14" t="str">
        <f t="shared" si="0"/>
        <v/>
      </c>
      <c r="F12" s="14" t="str">
        <f t="shared" si="0"/>
        <v/>
      </c>
      <c r="G12" s="14" t="str">
        <f t="shared" si="0"/>
        <v/>
      </c>
      <c r="H12" s="14" t="str">
        <f t="shared" si="0"/>
        <v/>
      </c>
      <c r="I12" s="14" t="str">
        <f t="shared" si="0"/>
        <v/>
      </c>
      <c r="J12" s="14" t="str">
        <f t="shared" si="0"/>
        <v/>
      </c>
      <c r="K12" s="14" t="str">
        <f t="shared" si="0"/>
        <v/>
      </c>
      <c r="M12" s="15" t="str">
        <f>COUNTIF(M4:M11,"SÍ")&amp;" / 8 aprobados"</f>
        <v>1 / 8 aprobados</v>
      </c>
    </row>
  </sheetData>
  <mergeCells count="2">
    <mergeCell ref="A1:M1"/>
    <mergeCell ref="A2:M2"/>
  </mergeCells>
  <conditionalFormatting sqref="D4:D11">
    <cfRule type="colorScale" priority="2">
      <colorScale>
        <cfvo type="num" val="0.9"/>
        <cfvo type="num" val="0.96"/>
        <cfvo type="num" val="1"/>
        <color rgb="FFFFC7CE"/>
        <color rgb="FFFFEB9C"/>
        <color rgb="FFC6EFCE"/>
      </colorScale>
    </cfRule>
  </conditionalFormatting>
  <conditionalFormatting sqref="E4:E11">
    <cfRule type="colorScale" priority="3">
      <colorScale>
        <cfvo type="num" val="0.9"/>
        <cfvo type="num" val="0.96"/>
        <cfvo type="num" val="1"/>
        <color rgb="FFFFC7CE"/>
        <color rgb="FFFFEB9C"/>
        <color rgb="FFC6EFCE"/>
      </colorScale>
    </cfRule>
  </conditionalFormatting>
  <conditionalFormatting sqref="F4:F11">
    <cfRule type="colorScale" priority="4">
      <colorScale>
        <cfvo type="num" val="0.9"/>
        <cfvo type="num" val="0.96"/>
        <cfvo type="num" val="1"/>
        <color rgb="FFFFC7CE"/>
        <color rgb="FFFFEB9C"/>
        <color rgb="FFC6EFCE"/>
      </colorScale>
    </cfRule>
  </conditionalFormatting>
  <conditionalFormatting sqref="G4:G11">
    <cfRule type="colorScale" priority="5">
      <colorScale>
        <cfvo type="num" val="0.9"/>
        <cfvo type="num" val="0.96"/>
        <cfvo type="num" val="1"/>
        <color rgb="FFFFC7CE"/>
        <color rgb="FFFFEB9C"/>
        <color rgb="FFC6EFCE"/>
      </colorScale>
    </cfRule>
  </conditionalFormatting>
  <conditionalFormatting sqref="L4:L11">
    <cfRule type="expression" dxfId="3" priority="6">
      <formula>L4="✔ OK"</formula>
    </cfRule>
    <cfRule type="expression" dxfId="2" priority="7">
      <formula>L4="✖ REVISAR"</formula>
    </cfRule>
  </conditionalFormatting>
  <conditionalFormatting sqref="M4:M11">
    <cfRule type="expression" dxfId="1" priority="8">
      <formula>M4="SÍ"</formula>
    </cfRule>
    <cfRule type="expression" dxfId="0" priority="9">
      <formula>M4="NO"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2" width="15" customWidth="1"/>
    <col min="3" max="3" width="12" customWidth="1"/>
    <col min="4" max="4" width="18" customWidth="1"/>
    <col min="5" max="5" width="44" customWidth="1"/>
    <col min="6" max="6" width="26" customWidth="1"/>
  </cols>
  <sheetData>
    <row r="1" spans="1:6" ht="27.75" customHeight="1" x14ac:dyDescent="0.25">
      <c r="A1" s="24" t="s">
        <v>32</v>
      </c>
      <c r="B1" s="24"/>
      <c r="C1" s="24"/>
      <c r="D1" s="24"/>
      <c r="E1" s="24"/>
      <c r="F1" s="24"/>
    </row>
    <row r="2" spans="1:6" ht="21.75" customHeight="1" x14ac:dyDescent="0.25">
      <c r="A2" s="12" t="s">
        <v>33</v>
      </c>
      <c r="B2" s="12" t="s">
        <v>34</v>
      </c>
      <c r="C2" s="12" t="s">
        <v>35</v>
      </c>
      <c r="D2" s="12" t="s">
        <v>36</v>
      </c>
      <c r="E2" s="16" t="s">
        <v>37</v>
      </c>
      <c r="F2" s="12" t="s">
        <v>38</v>
      </c>
    </row>
    <row r="3" spans="1:6" ht="21.75" customHeight="1" x14ac:dyDescent="0.25">
      <c r="A3" s="11" t="s">
        <v>39</v>
      </c>
      <c r="B3" s="11" t="s">
        <v>40</v>
      </c>
      <c r="C3" s="11" t="s">
        <v>41</v>
      </c>
      <c r="D3" s="11" t="s">
        <v>42</v>
      </c>
      <c r="E3" s="17" t="s">
        <v>43</v>
      </c>
      <c r="F3" s="11" t="s">
        <v>44</v>
      </c>
    </row>
    <row r="4" spans="1:6" ht="21.75" customHeight="1" x14ac:dyDescent="0.25">
      <c r="A4" s="9" t="s">
        <v>45</v>
      </c>
      <c r="B4" s="9" t="s">
        <v>46</v>
      </c>
      <c r="C4" s="9" t="s">
        <v>41</v>
      </c>
      <c r="D4" s="9" t="s">
        <v>47</v>
      </c>
      <c r="E4" s="18" t="s">
        <v>48</v>
      </c>
      <c r="F4" s="9" t="s">
        <v>49</v>
      </c>
    </row>
    <row r="5" spans="1:6" ht="21.75" customHeight="1" x14ac:dyDescent="0.25">
      <c r="A5" s="11" t="s">
        <v>21</v>
      </c>
      <c r="B5" s="11" t="s">
        <v>50</v>
      </c>
      <c r="C5" s="11" t="s">
        <v>51</v>
      </c>
      <c r="D5" s="11" t="s">
        <v>52</v>
      </c>
      <c r="E5" s="17" t="s">
        <v>53</v>
      </c>
      <c r="F5" s="11" t="s">
        <v>54</v>
      </c>
    </row>
    <row r="6" spans="1:6" ht="21.75" customHeight="1" x14ac:dyDescent="0.25">
      <c r="A6" s="9" t="s">
        <v>22</v>
      </c>
      <c r="B6" s="9" t="s">
        <v>50</v>
      </c>
      <c r="C6" s="9" t="s">
        <v>51</v>
      </c>
      <c r="D6" s="9" t="s">
        <v>52</v>
      </c>
      <c r="E6" s="18" t="s">
        <v>55</v>
      </c>
      <c r="F6" s="9" t="s">
        <v>54</v>
      </c>
    </row>
    <row r="7" spans="1:6" ht="21.75" customHeight="1" x14ac:dyDescent="0.25">
      <c r="A7" s="11" t="s">
        <v>23</v>
      </c>
      <c r="B7" s="11" t="s">
        <v>50</v>
      </c>
      <c r="C7" s="11" t="s">
        <v>51</v>
      </c>
      <c r="D7" s="11" t="s">
        <v>52</v>
      </c>
      <c r="E7" s="17" t="s">
        <v>56</v>
      </c>
      <c r="F7" s="11" t="s">
        <v>54</v>
      </c>
    </row>
    <row r="8" spans="1:6" ht="21.75" customHeight="1" x14ac:dyDescent="0.25">
      <c r="A8" s="9" t="s">
        <v>24</v>
      </c>
      <c r="B8" s="9" t="s">
        <v>57</v>
      </c>
      <c r="C8" s="9" t="s">
        <v>51</v>
      </c>
      <c r="D8" s="9" t="s">
        <v>58</v>
      </c>
      <c r="E8" s="18" t="s">
        <v>59</v>
      </c>
      <c r="F8" s="9" t="s">
        <v>54</v>
      </c>
    </row>
    <row r="9" spans="1:6" ht="21.75" customHeight="1" x14ac:dyDescent="0.25">
      <c r="A9" s="11" t="s">
        <v>60</v>
      </c>
      <c r="B9" s="11" t="s">
        <v>61</v>
      </c>
      <c r="C9" s="11" t="s">
        <v>62</v>
      </c>
      <c r="D9" s="11" t="s">
        <v>63</v>
      </c>
      <c r="E9" s="17" t="s">
        <v>64</v>
      </c>
      <c r="F9" s="11" t="s">
        <v>65</v>
      </c>
    </row>
    <row r="10" spans="1:6" ht="21.75" customHeight="1" x14ac:dyDescent="0.25">
      <c r="A10" s="9" t="s">
        <v>66</v>
      </c>
      <c r="B10" s="9" t="s">
        <v>61</v>
      </c>
      <c r="C10" s="9" t="s">
        <v>62</v>
      </c>
      <c r="D10" s="9" t="s">
        <v>63</v>
      </c>
      <c r="E10" s="18" t="s">
        <v>64</v>
      </c>
      <c r="F10" s="9" t="s">
        <v>65</v>
      </c>
    </row>
    <row r="11" spans="1:6" ht="21.75" customHeight="1" x14ac:dyDescent="0.25">
      <c r="A11" s="11" t="s">
        <v>67</v>
      </c>
      <c r="B11" s="11" t="s">
        <v>61</v>
      </c>
      <c r="C11" s="11" t="s">
        <v>62</v>
      </c>
      <c r="D11" s="11" t="s">
        <v>63</v>
      </c>
      <c r="E11" s="17" t="s">
        <v>64</v>
      </c>
      <c r="F11" s="11" t="s">
        <v>65</v>
      </c>
    </row>
    <row r="12" spans="1:6" ht="21.75" customHeight="1" x14ac:dyDescent="0.25">
      <c r="A12" s="9" t="s">
        <v>68</v>
      </c>
      <c r="B12" s="9" t="s">
        <v>69</v>
      </c>
      <c r="C12" s="9" t="s">
        <v>51</v>
      </c>
      <c r="D12" s="9" t="s">
        <v>70</v>
      </c>
      <c r="E12" s="18" t="s">
        <v>71</v>
      </c>
      <c r="F12" s="9" t="s">
        <v>72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Calibración</vt:lpstr>
      <vt:lpstr>Resumen Comparativo</vt:lpstr>
      <vt:lpstr>Criterios y Umbrales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diego caguasango</cp:lastModifiedBy>
  <cp:revision>0</cp:revision>
  <dcterms:created xsi:type="dcterms:W3CDTF">2026-06-16T21:11:24Z</dcterms:created>
  <dcterms:modified xsi:type="dcterms:W3CDTF">2026-07-18T00:46:49Z</dcterms:modified>
  <dc:language>en-US</dc:language>
</cp:coreProperties>
</file>